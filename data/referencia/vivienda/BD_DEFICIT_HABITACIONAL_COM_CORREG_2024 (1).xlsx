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184d3c2b1d305d/PROYECTOS/SVSH_2024/OBSERVATORIO DE VIVIENDA/BD_GENERADAS/"/>
    </mc:Choice>
  </mc:AlternateContent>
  <xr:revisionPtr revIDLastSave="62" documentId="8_{A64963B2-7CF8-481B-AF55-898AE4F5A711}" xr6:coauthVersionLast="47" xr6:coauthVersionMax="47" xr10:uidLastSave="{6BF649BA-24BE-4C57-87EE-4DD7EC5F1997}"/>
  <bookViews>
    <workbookView minimized="1" xWindow="4044" yWindow="4044" windowWidth="7500" windowHeight="6000" activeTab="2" xr2:uid="{EC1B9B96-7740-43A8-801D-EE2EC4B084C6}"/>
  </bookViews>
  <sheets>
    <sheet name="Hoja2" sheetId="2" r:id="rId1"/>
    <sheet name="Hoja3" sheetId="3" r:id="rId2"/>
    <sheet name="Hoja1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<sst xmlns="http://schemas.openxmlformats.org/spreadsheetml/2006/main" count="60" uniqueCount="42">
  <si>
    <t>Comuna o Corregimiento</t>
  </si>
  <si>
    <t>Déficit cuantitativo Tipo de vivienda</t>
  </si>
  <si>
    <t>Déficit cuantitativo Tipo de paredes</t>
  </si>
  <si>
    <t>Déficit cuantitativo Cohabitación</t>
  </si>
  <si>
    <t>Déficit cuantitativo Hacinamiento no mitigable</t>
  </si>
  <si>
    <t>Déficit cualitativo Hacinamiento mitigable</t>
  </si>
  <si>
    <t>Déficit cualitativo Material de pisos</t>
  </si>
  <si>
    <t>Déficit cualitativo Cocina</t>
  </si>
  <si>
    <t>Déficit cualitativo Acueducto</t>
  </si>
  <si>
    <t>Déficit cualitativo Alcantarillado</t>
  </si>
  <si>
    <t>Déficit cualitativo Energia</t>
  </si>
  <si>
    <t>Déficit cualitativo Recolección de basuras</t>
  </si>
  <si>
    <t>Déficit Cuantitativo</t>
  </si>
  <si>
    <t>Déficit Cualitativo</t>
  </si>
  <si>
    <t>Déficit Habitacional</t>
  </si>
  <si>
    <t>Navarro</t>
  </si>
  <si>
    <t>El Hormiguero</t>
  </si>
  <si>
    <t>Pance</t>
  </si>
  <si>
    <t>La Buitrera</t>
  </si>
  <si>
    <t>Villacarmelo</t>
  </si>
  <si>
    <t>Los Andes</t>
  </si>
  <si>
    <t>Pichinde</t>
  </si>
  <si>
    <t>La Leonera</t>
  </si>
  <si>
    <t>Felidia</t>
  </si>
  <si>
    <t>El Saladito</t>
  </si>
  <si>
    <t>La Elvira</t>
  </si>
  <si>
    <t>La Castilla</t>
  </si>
  <si>
    <t>La Paz</t>
  </si>
  <si>
    <t>Montebello</t>
  </si>
  <si>
    <t>Golondrinas</t>
  </si>
  <si>
    <t>Etiquetas de fila</t>
  </si>
  <si>
    <t>Total general</t>
  </si>
  <si>
    <t>Suma de Déficit Cualitativo</t>
  </si>
  <si>
    <t>Suma de Déficit cualitativo Hacinamiento mitigable</t>
  </si>
  <si>
    <t>Suma de Déficit cualitativo Material de pisos</t>
  </si>
  <si>
    <t>Suma de Déficit cualitativo Cocina</t>
  </si>
  <si>
    <t>Suma de Déficit cualitativo Acueducto</t>
  </si>
  <si>
    <t>Suma de Déficit cualitativo Alcantarillado</t>
  </si>
  <si>
    <t>Suma de Déficit cualitativo Energia</t>
  </si>
  <si>
    <t>Suma de Déficit cualitativo Recolección de basuras</t>
  </si>
  <si>
    <t xml:space="preserve"> Déficit cualitativo Acueducto</t>
  </si>
  <si>
    <t>Corregimiento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</si>
</sst>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Déficit Cualitativo por Corregimiento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Hoja3!$B$1</c:f>
              <c:strCache>
                <c:ptCount val="1"/>
                <c:pt idx="0">
                  <c:v>Déficit Cualitativo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Hoja3!$A$2:$A$6</c:f>
              <c:strCache>
                <c:ptCount val="5"/>
                <c:pt idx="0">
                  <c:v>El Hormiguero</c:v>
                </c:pt>
                <c:pt idx="1">
                  <c:v>El Saladito</c:v>
                </c:pt>
                <c:pt idx="2">
                  <c:v>Felidia</c:v>
                </c:pt>
                <c:pt idx="3">
                  <c:v>Golondrinas</c:v>
                </c:pt>
                <c:pt idx="4">
                  <c:v>La Buitrera</c:v>
                </c:pt>
              </c:strCache>
            </c:strRef>
          </c:cat>
          <c:val>
            <c:numRef>
              <c:f>Hoja3!$B$2:$B$6</c:f>
              <c:numCache>
                <c:formatCode>General</c:formatCode>
                <c:ptCount val="5"/>
                <c:pt idx="0">
                  <c:v>670</c:v>
                </c:pt>
                <c:pt idx="1">
                  <c:v>490</c:v>
                </c:pt>
                <c:pt idx="2">
                  <c:v>710</c:v>
                </c:pt>
                <c:pt idx="3">
                  <c:v>1625</c:v>
                </c:pt>
                <c:pt idx="4">
                  <c:v>4530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1-480B-A168-009ECB960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78132943"/>
        <c:axId val="2078133423"/>
      </c:barChart>
      <c:catAx>
        <c:axId val="207813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78133423"/>
        <c:crosses val="autoZero"/>
        <c:auto val="1"/>
        <c:lblAlgn val="ctr"/>
        <c:lblOffset val="100"/>
        <c:noMultiLvlLbl val="0"/>
      </c:catAx>
      <c:valAx>
        <c:axId val="207813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7813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Componentes</a:t>
            </a:r>
            <a:r>
              <a:rPr lang="es-CO" baseline="0"/>
              <a:t> del déficit cualitativo por Corregimiento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Hoja3!$A$2</c:f>
              <c:strCache>
                <c:ptCount val="1"/>
                <c:pt idx="0">
                  <c:v>El Hormiguero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Hoja3!$C$1:$I$1</c:f>
              <c:strCache>
                <c:ptCount val="7"/>
                <c:pt idx="0">
                  <c:v>Déficit cualitativo Hacinamiento mitigable</c:v>
                </c:pt>
                <c:pt idx="1">
                  <c:v>Déficit cualitativo Material de pisos</c:v>
                </c:pt>
                <c:pt idx="2">
                  <c:v>Déficit cualitativo Cocina</c:v>
                </c:pt>
                <c:pt idx="3">
                  <c:v> Déficit cualitativo Acueducto</c:v>
                </c:pt>
                <c:pt idx="4">
                  <c:v>Déficit cualitativo Alcantarillado</c:v>
                </c:pt>
                <c:pt idx="5">
                  <c:v>Déficit cualitativo Energia</c:v>
                </c:pt>
                <c:pt idx="6">
                  <c:v>Déficit cualitativo Recolección de basuras</c:v>
                </c:pt>
              </c:strCache>
            </c:strRef>
          </c:cat>
          <c:val>
            <c:numRef>
              <c:f>Hoja3!$C$2:$I$2</c:f>
              <c:numCache>
                <c:formatCode>General</c:formatCode>
                <c:ptCount val="7"/>
                <c:pt idx="0">
                  <c:v>396</c:v>
                </c:pt>
                <c:pt idx="1">
                  <c:v>140</c:v>
                </c:pt>
                <c:pt idx="2">
                  <c:v>333</c:v>
                </c:pt>
                <c:pt idx="3">
                  <c:v>98</c:v>
                </c:pt>
                <c:pt idx="4">
                  <c:v>39</c:v>
                </c:pt>
                <c:pt idx="5">
                  <c:v>98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E-439C-82D0-1AEC0A127CD7}"/>
            </c:ext>
          </c:extLst>
        </c:ser>
        <c:ser>
          <c:idx val="1"/>
          <c:order val="1"/>
          <c:tx>
            <c:strRef>
              <c:f>Hoja3!$A$3</c:f>
              <c:strCache>
                <c:ptCount val="1"/>
                <c:pt idx="0">
                  <c:v>El Saladito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Hoja3!$C$1:$I$1</c:f>
              <c:strCache>
                <c:ptCount val="7"/>
                <c:pt idx="0">
                  <c:v>Déficit cualitativo Hacinamiento mitigable</c:v>
                </c:pt>
                <c:pt idx="1">
                  <c:v>Déficit cualitativo Material de pisos</c:v>
                </c:pt>
                <c:pt idx="2">
                  <c:v>Déficit cualitativo Cocina</c:v>
                </c:pt>
                <c:pt idx="3">
                  <c:v> Déficit cualitativo Acueducto</c:v>
                </c:pt>
                <c:pt idx="4">
                  <c:v>Déficit cualitativo Alcantarillado</c:v>
                </c:pt>
                <c:pt idx="5">
                  <c:v>Déficit cualitativo Energia</c:v>
                </c:pt>
                <c:pt idx="6">
                  <c:v>Déficit cualitativo Recolección de basuras</c:v>
                </c:pt>
              </c:strCache>
            </c:strRef>
          </c:cat>
          <c:val>
            <c:numRef>
              <c:f>Hoja3!$C$3:$I$3</c:f>
              <c:numCache>
                <c:formatCode>General</c:formatCode>
                <c:ptCount val="7"/>
                <c:pt idx="0">
                  <c:v>170</c:v>
                </c:pt>
                <c:pt idx="1">
                  <c:v>90</c:v>
                </c:pt>
                <c:pt idx="2">
                  <c:v>97</c:v>
                </c:pt>
                <c:pt idx="3">
                  <c:v>481</c:v>
                </c:pt>
                <c:pt idx="4">
                  <c:v>34</c:v>
                </c:pt>
                <c:pt idx="5">
                  <c:v>155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2E-439C-82D0-1AEC0A127CD7}"/>
            </c:ext>
          </c:extLst>
        </c:ser>
        <c:ser>
          <c:idx val="2"/>
          <c:order val="2"/>
          <c:tx>
            <c:strRef>
              <c:f>Hoja3!$A$4</c:f>
              <c:strCache>
                <c:ptCount val="1"/>
                <c:pt idx="0">
                  <c:v>Felidia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Hoja3!$C$1:$I$1</c:f>
              <c:strCache>
                <c:ptCount val="7"/>
                <c:pt idx="0">
                  <c:v>Déficit cualitativo Hacinamiento mitigable</c:v>
                </c:pt>
                <c:pt idx="1">
                  <c:v>Déficit cualitativo Material de pisos</c:v>
                </c:pt>
                <c:pt idx="2">
                  <c:v>Déficit cualitativo Cocina</c:v>
                </c:pt>
                <c:pt idx="3">
                  <c:v> Déficit cualitativo Acueducto</c:v>
                </c:pt>
                <c:pt idx="4">
                  <c:v>Déficit cualitativo Alcantarillado</c:v>
                </c:pt>
                <c:pt idx="5">
                  <c:v>Déficit cualitativo Energia</c:v>
                </c:pt>
                <c:pt idx="6">
                  <c:v>Déficit cualitativo Recolección de basuras</c:v>
                </c:pt>
              </c:strCache>
            </c:strRef>
          </c:cat>
          <c:val>
            <c:numRef>
              <c:f>Hoja3!$C$4:$I$4</c:f>
              <c:numCache>
                <c:formatCode>General</c:formatCode>
                <c:ptCount val="7"/>
                <c:pt idx="0">
                  <c:v>238</c:v>
                </c:pt>
                <c:pt idx="1">
                  <c:v>79</c:v>
                </c:pt>
                <c:pt idx="2">
                  <c:v>198</c:v>
                </c:pt>
                <c:pt idx="3">
                  <c:v>642</c:v>
                </c:pt>
                <c:pt idx="4">
                  <c:v>10</c:v>
                </c:pt>
                <c:pt idx="5">
                  <c:v>198</c:v>
                </c:pt>
                <c:pt idx="6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2E-439C-82D0-1AEC0A127CD7}"/>
            </c:ext>
          </c:extLst>
        </c:ser>
        <c:ser>
          <c:idx val="3"/>
          <c:order val="3"/>
          <c:tx>
            <c:strRef>
              <c:f>Hoja3!$A$5</c:f>
              <c:strCache>
                <c:ptCount val="1"/>
                <c:pt idx="0">
                  <c:v>Golondrinas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Hoja3!$C$1:$I$1</c:f>
              <c:strCache>
                <c:ptCount val="7"/>
                <c:pt idx="0">
                  <c:v>Déficit cualitativo Hacinamiento mitigable</c:v>
                </c:pt>
                <c:pt idx="1">
                  <c:v>Déficit cualitativo Material de pisos</c:v>
                </c:pt>
                <c:pt idx="2">
                  <c:v>Déficit cualitativo Cocina</c:v>
                </c:pt>
                <c:pt idx="3">
                  <c:v> Déficit cualitativo Acueducto</c:v>
                </c:pt>
                <c:pt idx="4">
                  <c:v>Déficit cualitativo Alcantarillado</c:v>
                </c:pt>
                <c:pt idx="5">
                  <c:v>Déficit cualitativo Energia</c:v>
                </c:pt>
                <c:pt idx="6">
                  <c:v>Déficit cualitativo Recolección de basuras</c:v>
                </c:pt>
              </c:strCache>
            </c:strRef>
          </c:cat>
          <c:val>
            <c:numRef>
              <c:f>Hoja3!$C$5:$I$5</c:f>
              <c:numCache>
                <c:formatCode>General</c:formatCode>
                <c:ptCount val="7"/>
                <c:pt idx="0">
                  <c:v>812</c:v>
                </c:pt>
                <c:pt idx="1">
                  <c:v>218</c:v>
                </c:pt>
                <c:pt idx="2">
                  <c:v>749</c:v>
                </c:pt>
                <c:pt idx="3">
                  <c:v>541</c:v>
                </c:pt>
                <c:pt idx="4">
                  <c:v>261</c:v>
                </c:pt>
                <c:pt idx="5">
                  <c:v>158</c:v>
                </c:pt>
                <c:pt idx="6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2E-439C-82D0-1AEC0A127CD7}"/>
            </c:ext>
          </c:extLst>
        </c:ser>
        <c:ser>
          <c:idx val="4"/>
          <c:order val="4"/>
          <c:tx>
            <c:strRef>
              <c:f>Hoja3!$A$6</c:f>
              <c:strCache>
                <c:ptCount val="1"/>
                <c:pt idx="0">
                  <c:v>La Buitrera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Hoja3!$C$1:$I$1</c:f>
              <c:strCache>
                <c:ptCount val="7"/>
                <c:pt idx="0">
                  <c:v>Déficit cualitativo Hacinamiento mitigable</c:v>
                </c:pt>
                <c:pt idx="1">
                  <c:v>Déficit cualitativo Material de pisos</c:v>
                </c:pt>
                <c:pt idx="2">
                  <c:v>Déficit cualitativo Cocina</c:v>
                </c:pt>
                <c:pt idx="3">
                  <c:v> Déficit cualitativo Acueducto</c:v>
                </c:pt>
                <c:pt idx="4">
                  <c:v>Déficit cualitativo Alcantarillado</c:v>
                </c:pt>
                <c:pt idx="5">
                  <c:v>Déficit cualitativo Energia</c:v>
                </c:pt>
                <c:pt idx="6">
                  <c:v>Déficit cualitativo Recolección de basuras</c:v>
                </c:pt>
              </c:strCache>
            </c:strRef>
          </c:cat>
          <c:val>
            <c:numRef>
              <c:f>Hoja3!$C$6:$I$6</c:f>
              <c:numCache>
                <c:formatCode>General</c:formatCode>
                <c:ptCount val="7"/>
                <c:pt idx="0">
                  <c:v>2389</c:v>
                </c:pt>
                <c:pt idx="1">
                  <c:v>780</c:v>
                </c:pt>
                <c:pt idx="2">
                  <c:v>2580</c:v>
                </c:pt>
                <c:pt idx="3">
                  <c:v>2223</c:v>
                </c:pt>
                <c:pt idx="4">
                  <c:v>449</c:v>
                </c:pt>
                <c:pt idx="5">
                  <c:v>552</c:v>
                </c:pt>
                <c:pt idx="6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2E-439C-82D0-1AEC0A127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7783567"/>
        <c:axId val="2077786447"/>
      </c:barChart>
      <c:catAx>
        <c:axId val="2077783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77786447"/>
        <c:crosses val="autoZero"/>
        <c:auto val="1"/>
        <c:lblAlgn val="ctr"/>
        <c:lblOffset val="100"/>
        <c:noMultiLvlLbl val="0"/>
      </c:catAx>
      <c:valAx>
        <c:axId val="207778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77783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670560</xdr:colOff>
      <xdr:row>8</xdr:row>
      <xdr:rowOff>68580</xdr:rowOff>
    </xdr:from>
    <xdr:to>
      <xdr:col>5</xdr:col>
      <xdr:colOff>0</xdr:colOff>
      <xdr:row>23</xdr:row>
      <xdr:rowOff>68580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4D26D1-3686-19DB-9D28-F4ED1BBD9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838200</xdr:colOff>
      <xdr:row>7</xdr:row>
      <xdr:rowOff>91440</xdr:rowOff>
    </xdr:from>
    <xdr:to>
      <xdr:col>11</xdr:col>
      <xdr:colOff>457200</xdr:colOff>
      <xdr:row>26</xdr:row>
      <xdr:rowOff>99060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BCC5C07-53C2-70DA-88AF-27A3DDE71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idy Vargas" refreshedDate="46087.383183680555" createdVersion="8" refreshedVersion="8" minRefreshableVersion="3" recordCount="39" xr:uid="{379D951F-CAC8-4048-A17B-710B61E7EE6A}">
  <cacheSource type="worksheet">
    <worksheetSource ref="A1:O1048576" sheet="Hoja1"/>
  </cacheSource>
  <cacheFields count="15">
    <cacheField name="Comuna o Corregimiento" numFmtId="0">
      <sharedItems containsBlank="1" containsMixedTypes="1" containsNumber="1" containsInteger="1" minValue="1" maxValue="81" count="3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81"/>
        <s v="Navarro"/>
        <s v="El Hormiguero"/>
        <s v="Pance"/>
        <s v="La Buitrera"/>
        <s v="Villacarmelo"/>
        <s v="Los Andes"/>
        <s v="Pichinde"/>
        <s v="La Leonera"/>
        <s v="Felidia"/>
        <s v="El Saladito"/>
        <s v="La Elvira"/>
        <s v="La Castilla"/>
        <s v="La Paz"/>
        <s v="Montebello"/>
        <s v="Golondrinas"/>
        <m/>
      </sharedItems>
    </cacheField>
    <cacheField name="Déficit Habitacional" numFmtId="0">
      <sharedItems containsString="0" containsBlank="1" containsNumber="1" containsInteger="1" minValue="100" maxValue="22486"/>
    </cacheField>
    <cacheField name="Déficit Cuantitativo" numFmtId="0">
      <sharedItems containsString="0" containsBlank="1" containsNumber="1" containsInteger="1" minValue="13" maxValue="3092"/>
    </cacheField>
    <cacheField name="Déficit Cualitativo" numFmtId="0">
      <sharedItems containsString="0" containsBlank="1" containsNumber="1" containsInteger="1" minValue="86" maxValue="20179"/>
    </cacheField>
    <cacheField name="Déficit cuantitativo Tipo de vivienda" numFmtId="0">
      <sharedItems containsString="0" containsBlank="1" containsNumber="1" containsInteger="1" minValue="0" maxValue="694"/>
    </cacheField>
    <cacheField name="Déficit cuantitativo Tipo de paredes" numFmtId="0">
      <sharedItems containsString="0" containsBlank="1" containsNumber="1" containsInteger="1" minValue="9" maxValue="1351"/>
    </cacheField>
    <cacheField name="Déficit cuantitativo Cohabitación" numFmtId="0">
      <sharedItems containsString="0" containsBlank="1" containsNumber="1" containsInteger="1" minValue="0" maxValue="1100"/>
    </cacheField>
    <cacheField name="Déficit cuantitativo Hacinamiento no mitigable" numFmtId="0">
      <sharedItems containsString="0" containsBlank="1" containsNumber="1" containsInteger="1" minValue="0" maxValue="1194"/>
    </cacheField>
    <cacheField name="Déficit cualitativo Hacinamiento mitigable" numFmtId="0">
      <sharedItems containsString="0" containsBlank="1" containsNumber="1" containsInteger="1" minValue="38" maxValue="10264"/>
    </cacheField>
    <cacheField name="Déficit cualitativo Material de pisos" numFmtId="0">
      <sharedItems containsString="0" containsBlank="1" containsNumber="1" containsInteger="1" minValue="2" maxValue="1939"/>
    </cacheField>
    <cacheField name="Déficit cualitativo Cocina" numFmtId="0">
      <sharedItems containsString="0" containsBlank="1" containsNumber="1" containsInteger="1" minValue="33" maxValue="14444"/>
    </cacheField>
    <cacheField name="Déficit cualitativo Acueducto" numFmtId="0">
      <sharedItems containsString="0" containsBlank="1" containsNumber="1" containsInteger="1" minValue="10" maxValue="2223"/>
    </cacheField>
    <cacheField name="Déficit cualitativo Alcantarillado" numFmtId="0">
      <sharedItems containsString="0" containsBlank="1" containsNumber="1" containsInteger="1" minValue="3" maxValue="3072"/>
    </cacheField>
    <cacheField name="Déficit cualitativo Energia" numFmtId="0">
      <sharedItems containsString="0" containsBlank="1" containsNumber="1" containsInteger="1" minValue="8" maxValue="1073"/>
    </cacheField>
    <cacheField name="Déficit cualitativo Recolección de basuras" numFmtId="0">
      <sharedItems containsString="0" containsBlank="1" containsNumber="1" containsInteger="1" minValue="2" maxValue="31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n v="8703"/>
    <n v="1516"/>
    <n v="7187"/>
    <n v="51"/>
    <n v="1015"/>
    <n v="300"/>
    <n v="297"/>
    <n v="3223"/>
    <n v="457"/>
    <n v="5592"/>
    <n v="632"/>
    <n v="1437"/>
    <n v="156"/>
    <n v="304"/>
  </r>
  <r>
    <x v="1"/>
    <n v="1588"/>
    <n v="182"/>
    <n v="1406"/>
    <n v="22"/>
    <n v="121"/>
    <n v="4"/>
    <n v="67"/>
    <n v="499"/>
    <n v="45"/>
    <n v="1024"/>
    <n v="150"/>
    <n v="258"/>
    <n v="52"/>
    <n v="69"/>
  </r>
  <r>
    <x v="2"/>
    <n v="2516"/>
    <n v="425"/>
    <n v="2091"/>
    <n v="163"/>
    <n v="291"/>
    <n v="28"/>
    <n v="112"/>
    <n v="861"/>
    <n v="149"/>
    <n v="1417"/>
    <n v="269"/>
    <n v="226"/>
    <n v="185"/>
    <n v="283"/>
  </r>
  <r>
    <x v="3"/>
    <n v="4000"/>
    <n v="396"/>
    <n v="3604"/>
    <n v="26"/>
    <n v="84"/>
    <n v="140"/>
    <n v="184"/>
    <n v="1619"/>
    <n v="31"/>
    <n v="2176"/>
    <n v="136"/>
    <n v="523"/>
    <n v="66"/>
    <n v="136"/>
  </r>
  <r>
    <x v="4"/>
    <n v="1577"/>
    <n v="54"/>
    <n v="1523"/>
    <n v="5"/>
    <n v="12"/>
    <n v="4"/>
    <n v="38"/>
    <n v="502"/>
    <n v="6"/>
    <n v="1109"/>
    <n v="31"/>
    <n v="29"/>
    <n v="15"/>
    <n v="27"/>
  </r>
  <r>
    <x v="5"/>
    <n v="12583"/>
    <n v="1860"/>
    <n v="10723"/>
    <n v="85"/>
    <n v="937"/>
    <n v="560"/>
    <n v="455"/>
    <n v="5128"/>
    <n v="236"/>
    <n v="6712"/>
    <n v="530"/>
    <n v="2113"/>
    <n v="141"/>
    <n v="414"/>
  </r>
  <r>
    <x v="6"/>
    <n v="5834"/>
    <n v="1166"/>
    <n v="4668"/>
    <n v="42"/>
    <n v="445"/>
    <n v="498"/>
    <n v="303"/>
    <n v="2897"/>
    <n v="237"/>
    <n v="2282"/>
    <n v="284"/>
    <n v="814"/>
    <n v="135"/>
    <n v="515"/>
  </r>
  <r>
    <x v="7"/>
    <n v="4168"/>
    <n v="484"/>
    <n v="3684"/>
    <n v="12"/>
    <n v="58"/>
    <n v="201"/>
    <n v="233"/>
    <n v="2056"/>
    <n v="34"/>
    <n v="2020"/>
    <n v="96"/>
    <n v="88"/>
    <n v="57"/>
    <n v="88"/>
  </r>
  <r>
    <x v="8"/>
    <n v="3605"/>
    <n v="449"/>
    <n v="3156"/>
    <n v="34"/>
    <n v="192"/>
    <n v="69"/>
    <n v="199"/>
    <n v="1395"/>
    <n v="39"/>
    <n v="2051"/>
    <n v="212"/>
    <n v="131"/>
    <n v="66"/>
    <n v="265"/>
  </r>
  <r>
    <x v="9"/>
    <n v="5160"/>
    <n v="337"/>
    <n v="4823"/>
    <n v="21"/>
    <n v="55"/>
    <n v="107"/>
    <n v="184"/>
    <n v="1735"/>
    <n v="27"/>
    <n v="3858"/>
    <n v="92"/>
    <n v="94"/>
    <n v="42"/>
    <n v="105"/>
  </r>
  <r>
    <x v="10"/>
    <n v="6504"/>
    <n v="727"/>
    <n v="5777"/>
    <n v="29"/>
    <n v="112"/>
    <n v="398"/>
    <n v="245"/>
    <n v="2682"/>
    <n v="34"/>
    <n v="4064"/>
    <n v="98"/>
    <n v="150"/>
    <n v="53"/>
    <n v="115"/>
  </r>
  <r>
    <x v="11"/>
    <n v="5403"/>
    <n v="576"/>
    <n v="4827"/>
    <n v="15"/>
    <n v="75"/>
    <n v="285"/>
    <n v="230"/>
    <n v="2297"/>
    <n v="24"/>
    <n v="3296"/>
    <n v="83"/>
    <n v="96"/>
    <n v="46"/>
    <n v="94"/>
  </r>
  <r>
    <x v="12"/>
    <n v="20917"/>
    <n v="3092"/>
    <n v="17825"/>
    <n v="47"/>
    <n v="1351"/>
    <n v="1100"/>
    <n v="879"/>
    <n v="8342"/>
    <n v="800"/>
    <n v="12671"/>
    <n v="645"/>
    <n v="3072"/>
    <n v="285"/>
    <n v="861"/>
  </r>
  <r>
    <x v="13"/>
    <n v="19847"/>
    <n v="1940"/>
    <n v="17907"/>
    <n v="46"/>
    <n v="302"/>
    <n v="752"/>
    <n v="988"/>
    <n v="10264"/>
    <n v="225"/>
    <n v="10115"/>
    <n v="371"/>
    <n v="528"/>
    <n v="204"/>
    <n v="393"/>
  </r>
  <r>
    <x v="14"/>
    <n v="22486"/>
    <n v="2307"/>
    <n v="20179"/>
    <n v="58"/>
    <n v="502"/>
    <n v="753"/>
    <n v="1194"/>
    <n v="9426"/>
    <n v="436"/>
    <n v="14444"/>
    <n v="733"/>
    <n v="2263"/>
    <n v="438"/>
    <n v="1187"/>
  </r>
  <r>
    <x v="15"/>
    <n v="11339"/>
    <n v="1082"/>
    <n v="10257"/>
    <n v="13"/>
    <n v="133"/>
    <n v="600"/>
    <n v="404"/>
    <n v="4286"/>
    <n v="65"/>
    <n v="7778"/>
    <n v="202"/>
    <n v="214"/>
    <n v="74"/>
    <n v="159"/>
  </r>
  <r>
    <x v="16"/>
    <n v="1236"/>
    <n v="138"/>
    <n v="1098"/>
    <n v="8"/>
    <n v="122"/>
    <n v="7"/>
    <n v="20"/>
    <n v="221"/>
    <n v="46"/>
    <n v="1014"/>
    <n v="58"/>
    <n v="141"/>
    <n v="29"/>
    <n v="45"/>
  </r>
  <r>
    <x v="17"/>
    <n v="14774"/>
    <n v="1629"/>
    <n v="13145"/>
    <n v="27"/>
    <n v="854"/>
    <n v="365"/>
    <n v="506"/>
    <n v="5010"/>
    <n v="430"/>
    <n v="10699"/>
    <n v="563"/>
    <n v="1291"/>
    <n v="150"/>
    <n v="1000"/>
  </r>
  <r>
    <x v="18"/>
    <n v="1506"/>
    <n v="181"/>
    <n v="1325"/>
    <n v="59"/>
    <n v="142"/>
    <n v="8"/>
    <n v="34"/>
    <n v="406"/>
    <n v="69"/>
    <n v="1094"/>
    <n v="119"/>
    <n v="167"/>
    <n v="88"/>
    <n v="69"/>
  </r>
  <r>
    <x v="19"/>
    <n v="11862"/>
    <n v="1672"/>
    <n v="10190"/>
    <n v="44"/>
    <n v="764"/>
    <n v="329"/>
    <n v="668"/>
    <n v="5366"/>
    <n v="385"/>
    <n v="5908"/>
    <n v="474"/>
    <n v="1920"/>
    <n v="121"/>
    <n v="1284"/>
  </r>
  <r>
    <x v="20"/>
    <n v="19156"/>
    <n v="2190"/>
    <n v="16966"/>
    <n v="331"/>
    <n v="782"/>
    <n v="578"/>
    <n v="955"/>
    <n v="8702"/>
    <n v="657"/>
    <n v="11566"/>
    <n v="666"/>
    <n v="1479"/>
    <n v="418"/>
    <n v="578"/>
  </r>
  <r>
    <x v="21"/>
    <n v="100"/>
    <n v="14"/>
    <n v="86"/>
    <n v="1"/>
    <n v="9"/>
    <n v="2"/>
    <n v="3"/>
    <n v="38"/>
    <n v="2"/>
    <n v="62"/>
    <n v="10"/>
    <n v="11"/>
    <n v="8"/>
    <n v="2"/>
  </r>
  <r>
    <x v="22"/>
    <n v="763"/>
    <n v="28"/>
    <n v="735"/>
    <n v="0"/>
    <n v="20"/>
    <n v="0"/>
    <n v="10"/>
    <n v="91"/>
    <n v="7"/>
    <n v="687"/>
    <n v="59"/>
    <n v="69"/>
    <n v="16"/>
    <n v="16"/>
  </r>
  <r>
    <x v="23"/>
    <n v="6189"/>
    <n v="1871"/>
    <n v="4318"/>
    <n v="694"/>
    <n v="1336"/>
    <n v="80"/>
    <n v="335"/>
    <n v="2096"/>
    <n v="1939"/>
    <n v="1432"/>
    <n v="1909"/>
    <n v="1749"/>
    <n v="1073"/>
    <n v="3153"/>
  </r>
  <r>
    <x v="24"/>
    <n v="798"/>
    <n v="128"/>
    <n v="670"/>
    <n v="8"/>
    <n v="106"/>
    <n v="2"/>
    <n v="22"/>
    <n v="396"/>
    <n v="140"/>
    <n v="333"/>
    <n v="98"/>
    <n v="39"/>
    <n v="98"/>
    <n v="13"/>
  </r>
  <r>
    <x v="25"/>
    <n v="631"/>
    <n v="140"/>
    <n v="491"/>
    <n v="9"/>
    <n v="128"/>
    <n v="3"/>
    <n v="8"/>
    <n v="186"/>
    <n v="125"/>
    <n v="93"/>
    <n v="517"/>
    <n v="28"/>
    <n v="170"/>
    <n v="113"/>
  </r>
  <r>
    <x v="26"/>
    <n v="5799"/>
    <n v="1269"/>
    <n v="4530"/>
    <n v="50"/>
    <n v="1220"/>
    <n v="23"/>
    <n v="29"/>
    <n v="2389"/>
    <n v="780"/>
    <n v="2580"/>
    <n v="2223"/>
    <n v="449"/>
    <n v="552"/>
    <n v="63"/>
  </r>
  <r>
    <x v="27"/>
    <n v="487"/>
    <n v="59"/>
    <n v="428"/>
    <n v="1"/>
    <n v="59"/>
    <n v="0"/>
    <n v="0"/>
    <n v="151"/>
    <n v="72"/>
    <n v="118"/>
    <n v="375"/>
    <n v="12"/>
    <n v="151"/>
    <n v="17"/>
  </r>
  <r>
    <x v="28"/>
    <n v="2119"/>
    <n v="313"/>
    <n v="1806"/>
    <n v="12"/>
    <n v="302"/>
    <n v="9"/>
    <n v="1"/>
    <n v="825"/>
    <n v="262"/>
    <n v="614"/>
    <n v="1477"/>
    <n v="281"/>
    <n v="387"/>
    <n v="22"/>
  </r>
  <r>
    <x v="29"/>
    <n v="183"/>
    <n v="13"/>
    <n v="170"/>
    <n v="0"/>
    <n v="13"/>
    <n v="0"/>
    <n v="0"/>
    <n v="51"/>
    <n v="28"/>
    <n v="33"/>
    <n v="150"/>
    <n v="4"/>
    <n v="32"/>
    <n v="15"/>
  </r>
  <r>
    <x v="30"/>
    <n v="387"/>
    <n v="40"/>
    <n v="347"/>
    <n v="1"/>
    <n v="39"/>
    <n v="0"/>
    <n v="2"/>
    <n v="106"/>
    <n v="67"/>
    <n v="73"/>
    <n v="336"/>
    <n v="7"/>
    <n v="125"/>
    <n v="14"/>
  </r>
  <r>
    <x v="31"/>
    <n v="759"/>
    <n v="49"/>
    <n v="710"/>
    <n v="1"/>
    <n v="41"/>
    <n v="0"/>
    <n v="8"/>
    <n v="238"/>
    <n v="79"/>
    <n v="198"/>
    <n v="642"/>
    <n v="10"/>
    <n v="198"/>
    <n v="27"/>
  </r>
  <r>
    <x v="32"/>
    <n v="556"/>
    <n v="66"/>
    <n v="490"/>
    <n v="3"/>
    <n v="60"/>
    <n v="2"/>
    <n v="4"/>
    <n v="170"/>
    <n v="90"/>
    <n v="97"/>
    <n v="481"/>
    <n v="34"/>
    <n v="155"/>
    <n v="5"/>
  </r>
  <r>
    <x v="33"/>
    <n v="373"/>
    <n v="28"/>
    <n v="345"/>
    <n v="2"/>
    <n v="21"/>
    <n v="2"/>
    <n v="5"/>
    <n v="109"/>
    <n v="60"/>
    <n v="66"/>
    <n v="343"/>
    <n v="6"/>
    <n v="80"/>
    <n v="11"/>
  </r>
  <r>
    <x v="34"/>
    <n v="490"/>
    <n v="71"/>
    <n v="419"/>
    <n v="1"/>
    <n v="67"/>
    <n v="4"/>
    <n v="1"/>
    <n v="159"/>
    <n v="90"/>
    <n v="86"/>
    <n v="440"/>
    <n v="22"/>
    <n v="124"/>
    <n v="30"/>
  </r>
  <r>
    <x v="35"/>
    <n v="246"/>
    <n v="40"/>
    <n v="206"/>
    <n v="0"/>
    <n v="38"/>
    <n v="1"/>
    <n v="1"/>
    <n v="78"/>
    <n v="53"/>
    <n v="62"/>
    <n v="230"/>
    <n v="3"/>
    <n v="80"/>
    <n v="12"/>
  </r>
  <r>
    <x v="36"/>
    <n v="2624"/>
    <n v="276"/>
    <n v="2348"/>
    <n v="1"/>
    <n v="182"/>
    <n v="17"/>
    <n v="82"/>
    <n v="1054"/>
    <n v="122"/>
    <n v="1220"/>
    <n v="665"/>
    <n v="548"/>
    <n v="169"/>
    <n v="92"/>
  </r>
  <r>
    <x v="37"/>
    <n v="1829"/>
    <n v="204"/>
    <n v="1625"/>
    <n v="16"/>
    <n v="168"/>
    <n v="19"/>
    <n v="12"/>
    <n v="812"/>
    <n v="218"/>
    <n v="749"/>
    <n v="541"/>
    <n v="261"/>
    <n v="158"/>
    <n v="46"/>
  </r>
  <r>
    <x v="38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37BDF-27DE-4F1F-A407-C96CCB29722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I9" firstHeaderRow="0" firstDataRow="1" firstDataCol="1"/>
  <pivotFields count="15">
    <pivotField axis="axisRow" showAll="0">
      <items count="4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24"/>
        <item x="32"/>
        <item x="31"/>
        <item x="37"/>
        <item x="26"/>
        <item h="1" x="34"/>
        <item h="1" x="33"/>
        <item h="1" x="30"/>
        <item h="1" x="35"/>
        <item h="1" x="28"/>
        <item h="1" x="36"/>
        <item h="1" x="23"/>
        <item h="1" x="25"/>
        <item h="1" x="29"/>
        <item h="1" x="27"/>
        <item h="1" x="38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6"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a de Déficit Cualitativo" fld="3" baseField="0" baseItem="0"/>
    <dataField name="Suma de Déficit cualitativo Hacinamiento mitigable" fld="8" baseField="0" baseItem="0"/>
    <dataField name="Suma de Déficit cualitativo Material de pisos" fld="9" baseField="0" baseItem="0"/>
    <dataField name="Suma de Déficit cualitativo Cocina" fld="10" baseField="0" baseItem="0"/>
    <dataField name="Suma de Déficit cualitativo Acueducto" fld="11" baseField="0" baseItem="0"/>
    <dataField name="Suma de Déficit cualitativo Alcantarillado" fld="12" baseField="0" baseItem="0"/>
    <dataField name="Suma de Déficit cualitativo Energia" fld="13" baseField="0" baseItem="0"/>
    <dataField name="Suma de Déficit cualitativo Recolección de basura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752E0-28F8-453B-8D89-A2CB7201513A}">
  <dimension ref="A3:I9"/>
  <sheetViews>
    <sheetView workbookViewId="0">
      <selection activeCell="A3" sqref="A3:I9"/>
    </sheetView>
  </sheetViews>
  <sheetFormatPr baseColWidth="10" defaultRowHeight="14.4" x14ac:dyDescent="0.3"/>
  <cols>
    <col min="1" max="1" width="16.5546875" bestFit="1" customWidth="1"/>
    <col min="2" max="2" width="11.77734375" customWidth="1"/>
    <col min="3" max="3" width="14" customWidth="1"/>
    <col min="4" max="4" width="14.21875" customWidth="1"/>
    <col min="5" max="5" width="10" customWidth="1"/>
    <col min="6" max="6" width="10.6640625" customWidth="1"/>
    <col min="7" max="7" width="10.5546875" customWidth="1"/>
    <col min="8" max="8" width="9.5546875" customWidth="1"/>
    <col min="9" max="9" width="11.77734375" customWidth="1"/>
  </cols>
  <sheetData>
    <row r="3" spans="1:9" x14ac:dyDescent="0.3">
      <c r="A3" s="4" t="s">
        <v>30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</row>
    <row r="4" spans="1:9" x14ac:dyDescent="0.3">
      <c r="A4" s="5" t="s">
        <v>16</v>
      </c>
      <c r="B4">
        <v>670</v>
      </c>
      <c r="C4">
        <v>396</v>
      </c>
      <c r="D4">
        <v>140</v>
      </c>
      <c r="E4">
        <v>333</v>
      </c>
      <c r="F4">
        <v>98</v>
      </c>
      <c r="G4">
        <v>39</v>
      </c>
      <c r="H4">
        <v>98</v>
      </c>
      <c r="I4">
        <v>13</v>
      </c>
    </row>
    <row r="5" spans="1:9" x14ac:dyDescent="0.3">
      <c r="A5" s="5" t="s">
        <v>24</v>
      </c>
      <c r="B5">
        <v>490</v>
      </c>
      <c r="C5">
        <v>170</v>
      </c>
      <c r="D5">
        <v>90</v>
      </c>
      <c r="E5">
        <v>97</v>
      </c>
      <c r="F5">
        <v>481</v>
      </c>
      <c r="G5">
        <v>34</v>
      </c>
      <c r="H5">
        <v>155</v>
      </c>
      <c r="I5">
        <v>5</v>
      </c>
    </row>
    <row r="6" spans="1:9" x14ac:dyDescent="0.3">
      <c r="A6" s="5" t="s">
        <v>23</v>
      </c>
      <c r="B6">
        <v>710</v>
      </c>
      <c r="C6">
        <v>238</v>
      </c>
      <c r="D6">
        <v>79</v>
      </c>
      <c r="E6">
        <v>198</v>
      </c>
      <c r="F6">
        <v>642</v>
      </c>
      <c r="G6">
        <v>10</v>
      </c>
      <c r="H6">
        <v>198</v>
      </c>
      <c r="I6">
        <v>27</v>
      </c>
    </row>
    <row r="7" spans="1:9" x14ac:dyDescent="0.3">
      <c r="A7" s="5" t="s">
        <v>29</v>
      </c>
      <c r="B7">
        <v>1625</v>
      </c>
      <c r="C7">
        <v>812</v>
      </c>
      <c r="D7">
        <v>218</v>
      </c>
      <c r="E7">
        <v>749</v>
      </c>
      <c r="F7">
        <v>541</v>
      </c>
      <c r="G7">
        <v>261</v>
      </c>
      <c r="H7">
        <v>158</v>
      </c>
      <c r="I7">
        <v>46</v>
      </c>
    </row>
    <row r="8" spans="1:9" x14ac:dyDescent="0.3">
      <c r="A8" s="5" t="s">
        <v>18</v>
      </c>
      <c r="B8">
        <v>4530</v>
      </c>
      <c r="C8">
        <v>2389</v>
      </c>
      <c r="D8">
        <v>780</v>
      </c>
      <c r="E8">
        <v>2580</v>
      </c>
      <c r="F8">
        <v>2223</v>
      </c>
      <c r="G8">
        <v>449</v>
      </c>
      <c r="H8">
        <v>552</v>
      </c>
      <c r="I8">
        <v>63</v>
      </c>
    </row>
    <row r="9" spans="1:9" x14ac:dyDescent="0.3">
      <c r="A9" s="5" t="s">
        <v>31</v>
      </c>
      <c r="B9">
        <v>8025</v>
      </c>
      <c r="C9">
        <v>4005</v>
      </c>
      <c r="D9">
        <v>1307</v>
      </c>
      <c r="E9">
        <v>3957</v>
      </c>
      <c r="F9">
        <v>3985</v>
      </c>
      <c r="G9">
        <v>793</v>
      </c>
      <c r="H9">
        <v>1161</v>
      </c>
      <c r="I9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9C7DE-E832-462E-AA91-3B3FD2E280A3}">
  <dimension ref="A1:I7"/>
  <sheetViews>
    <sheetView workbookViewId="0">
      <selection activeCell="K6" sqref="K6"/>
    </sheetView>
  </sheetViews>
  <sheetFormatPr baseColWidth="10" defaultRowHeight="14.4" x14ac:dyDescent="0.3"/>
  <cols>
    <col min="1" max="1" width="16.109375" customWidth="1"/>
    <col min="3" max="3" width="16.88671875" customWidth="1"/>
    <col min="4" max="4" width="15.88671875" customWidth="1"/>
    <col min="5" max="5" width="16" customWidth="1"/>
    <col min="6" max="6" width="15.109375" customWidth="1"/>
    <col min="7" max="7" width="14.88671875" customWidth="1"/>
    <col min="8" max="8" width="13.109375" customWidth="1"/>
    <col min="9" max="9" width="13.44140625" customWidth="1"/>
  </cols>
  <sheetData>
    <row r="1" spans="1:9" s="6" customFormat="1" ht="57.6" x14ac:dyDescent="0.3">
      <c r="A1" s="7" t="s">
        <v>41</v>
      </c>
      <c r="B1" s="7" t="s">
        <v>13</v>
      </c>
      <c r="C1" s="7" t="s">
        <v>5</v>
      </c>
      <c r="D1" s="7" t="s">
        <v>6</v>
      </c>
      <c r="E1" s="7" t="s">
        <v>7</v>
      </c>
      <c r="F1" s="7" t="s">
        <v>40</v>
      </c>
      <c r="G1" s="7" t="s">
        <v>9</v>
      </c>
      <c r="H1" s="7" t="s">
        <v>10</v>
      </c>
      <c r="I1" s="7" t="s">
        <v>11</v>
      </c>
    </row>
    <row r="2" spans="1:9" x14ac:dyDescent="0.3">
      <c r="A2" s="8" t="s">
        <v>16</v>
      </c>
      <c r="B2" s="8">
        <v>670</v>
      </c>
      <c r="C2" s="8">
        <v>396</v>
      </c>
      <c r="D2" s="8">
        <v>140</v>
      </c>
      <c r="E2" s="8">
        <v>333</v>
      </c>
      <c r="F2" s="8">
        <v>98</v>
      </c>
      <c r="G2" s="8">
        <v>39</v>
      </c>
      <c r="H2" s="8">
        <v>98</v>
      </c>
      <c r="I2" s="8">
        <v>13</v>
      </c>
    </row>
    <row r="3" spans="1:9" x14ac:dyDescent="0.3">
      <c r="A3" s="8" t="s">
        <v>24</v>
      </c>
      <c r="B3" s="8">
        <v>490</v>
      </c>
      <c r="C3" s="8">
        <v>170</v>
      </c>
      <c r="D3" s="8">
        <v>90</v>
      </c>
      <c r="E3" s="8">
        <v>97</v>
      </c>
      <c r="F3" s="8">
        <v>481</v>
      </c>
      <c r="G3" s="8">
        <v>34</v>
      </c>
      <c r="H3" s="8">
        <v>155</v>
      </c>
      <c r="I3" s="8">
        <v>5</v>
      </c>
    </row>
    <row r="4" spans="1:9" x14ac:dyDescent="0.3">
      <c r="A4" s="8" t="s">
        <v>23</v>
      </c>
      <c r="B4" s="8">
        <v>710</v>
      </c>
      <c r="C4" s="8">
        <v>238</v>
      </c>
      <c r="D4" s="8">
        <v>79</v>
      </c>
      <c r="E4" s="8">
        <v>198</v>
      </c>
      <c r="F4" s="8">
        <v>642</v>
      </c>
      <c r="G4" s="8">
        <v>10</v>
      </c>
      <c r="H4" s="8">
        <v>198</v>
      </c>
      <c r="I4" s="8">
        <v>27</v>
      </c>
    </row>
    <row r="5" spans="1:9" x14ac:dyDescent="0.3">
      <c r="A5" s="8" t="s">
        <v>29</v>
      </c>
      <c r="B5" s="8">
        <v>1625</v>
      </c>
      <c r="C5" s="8">
        <v>812</v>
      </c>
      <c r="D5" s="8">
        <v>218</v>
      </c>
      <c r="E5" s="8">
        <v>749</v>
      </c>
      <c r="F5" s="8">
        <v>541</v>
      </c>
      <c r="G5" s="8">
        <v>261</v>
      </c>
      <c r="H5" s="8">
        <v>158</v>
      </c>
      <c r="I5" s="8">
        <v>46</v>
      </c>
    </row>
    <row r="6" spans="1:9" x14ac:dyDescent="0.3">
      <c r="A6" s="8" t="s">
        <v>18</v>
      </c>
      <c r="B6" s="8">
        <v>4530</v>
      </c>
      <c r="C6" s="8">
        <v>2389</v>
      </c>
      <c r="D6" s="8">
        <v>780</v>
      </c>
      <c r="E6" s="8">
        <v>2580</v>
      </c>
      <c r="F6" s="8">
        <v>2223</v>
      </c>
      <c r="G6" s="8">
        <v>449</v>
      </c>
      <c r="H6" s="8">
        <v>552</v>
      </c>
      <c r="I6" s="8">
        <v>63</v>
      </c>
    </row>
    <row r="7" spans="1:9" x14ac:dyDescent="0.3">
      <c r="A7" s="8" t="s">
        <v>31</v>
      </c>
      <c r="B7" s="8">
        <v>8025</v>
      </c>
      <c r="C7" s="8">
        <v>4005</v>
      </c>
      <c r="D7" s="8">
        <v>1307</v>
      </c>
      <c r="E7" s="8">
        <v>3957</v>
      </c>
      <c r="F7" s="8">
        <v>3985</v>
      </c>
      <c r="G7" s="8">
        <v>793</v>
      </c>
      <c r="H7" s="8">
        <v>1161</v>
      </c>
      <c r="I7" s="8">
        <v>154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43A7-E4B3-44B0-B008-E16BDC2412B0}">
  <dimension ref="A1:O39"/>
  <sheetViews>
    <sheetView tabSelected="1" workbookViewId="0">
      <selection activeCell="E19" sqref="E19"/>
    </sheetView>
  </sheetViews>
  <sheetFormatPr baseColWidth="10" defaultRowHeight="14.4" x14ac:dyDescent="0.3"/>
  <cols>
    <col min="1" max="1" width="29.21875" bestFit="1" customWidth="1"/>
  </cols>
  <sheetData>
    <row r="1" spans="1:15" ht="72" x14ac:dyDescent="0.3">
      <c r="A1" s="1" t="s">
        <v>0</v>
      </c>
      <c r="B1" s="1" t="s">
        <v>14</v>
      </c>
      <c r="C1" s="1" t="s">
        <v>12</v>
      </c>
      <c r="D1" s="1" t="s">
        <v>13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3">
      <c r="A2" s="2">
        <v>1</v>
      </c>
      <c r="B2" s="3">
        <v>8703</v>
      </c>
      <c r="C2" s="3">
        <v>1516</v>
      </c>
      <c r="D2" s="3">
        <v>7187</v>
      </c>
      <c r="E2" s="3">
        <v>51</v>
      </c>
      <c r="F2" s="3">
        <v>1015</v>
      </c>
      <c r="G2" s="3">
        <v>300</v>
      </c>
      <c r="H2" s="3">
        <v>297</v>
      </c>
      <c r="I2" s="3">
        <v>3223</v>
      </c>
      <c r="J2" s="3">
        <v>457</v>
      </c>
      <c r="K2" s="3">
        <v>5592</v>
      </c>
      <c r="L2" s="3">
        <v>632</v>
      </c>
      <c r="M2" s="3">
        <v>1437</v>
      </c>
      <c r="N2" s="3">
        <v>156</v>
      </c>
      <c r="O2" s="3">
        <v>304</v>
      </c>
    </row>
    <row r="3" spans="1:15" x14ac:dyDescent="0.3">
      <c r="A3" s="2">
        <v>2</v>
      </c>
      <c r="B3" s="3">
        <v>1588</v>
      </c>
      <c r="C3" s="3">
        <v>182</v>
      </c>
      <c r="D3" s="3">
        <v>1406</v>
      </c>
      <c r="E3" s="3">
        <v>22</v>
      </c>
      <c r="F3" s="3">
        <v>121</v>
      </c>
      <c r="G3" s="3">
        <v>4</v>
      </c>
      <c r="H3" s="3">
        <v>67</v>
      </c>
      <c r="I3" s="3">
        <v>499</v>
      </c>
      <c r="J3" s="3">
        <v>45</v>
      </c>
      <c r="K3" s="3">
        <v>1024</v>
      </c>
      <c r="L3" s="3">
        <v>150</v>
      </c>
      <c r="M3" s="3">
        <v>258</v>
      </c>
      <c r="N3" s="3">
        <v>52</v>
      </c>
      <c r="O3" s="3">
        <v>69</v>
      </c>
    </row>
    <row r="4" spans="1:15" x14ac:dyDescent="0.3">
      <c r="A4" s="2">
        <v>3</v>
      </c>
      <c r="B4" s="3">
        <v>2516</v>
      </c>
      <c r="C4" s="3">
        <v>425</v>
      </c>
      <c r="D4" s="3">
        <v>2091</v>
      </c>
      <c r="E4" s="3">
        <v>163</v>
      </c>
      <c r="F4" s="3">
        <v>291</v>
      </c>
      <c r="G4" s="3">
        <v>28</v>
      </c>
      <c r="H4" s="3">
        <v>112</v>
      </c>
      <c r="I4" s="3">
        <v>861</v>
      </c>
      <c r="J4" s="3">
        <v>149</v>
      </c>
      <c r="K4" s="3">
        <v>1417</v>
      </c>
      <c r="L4" s="3">
        <v>269</v>
      </c>
      <c r="M4" s="3">
        <v>226</v>
      </c>
      <c r="N4" s="3">
        <v>185</v>
      </c>
      <c r="O4" s="3">
        <v>283</v>
      </c>
    </row>
    <row r="5" spans="1:15" x14ac:dyDescent="0.3">
      <c r="A5" s="2">
        <v>4</v>
      </c>
      <c r="B5" s="3">
        <v>4000</v>
      </c>
      <c r="C5" s="3">
        <v>396</v>
      </c>
      <c r="D5" s="3">
        <v>3604</v>
      </c>
      <c r="E5" s="3">
        <v>26</v>
      </c>
      <c r="F5" s="3">
        <v>84</v>
      </c>
      <c r="G5" s="3">
        <v>140</v>
      </c>
      <c r="H5" s="3">
        <v>184</v>
      </c>
      <c r="I5" s="3">
        <v>1619</v>
      </c>
      <c r="J5" s="3">
        <v>31</v>
      </c>
      <c r="K5" s="3">
        <v>2176</v>
      </c>
      <c r="L5" s="3">
        <v>136</v>
      </c>
      <c r="M5" s="3">
        <v>523</v>
      </c>
      <c r="N5" s="3">
        <v>66</v>
      </c>
      <c r="O5" s="3">
        <v>136</v>
      </c>
    </row>
    <row r="6" spans="1:15" x14ac:dyDescent="0.3">
      <c r="A6" s="2">
        <v>5</v>
      </c>
      <c r="B6" s="3">
        <v>1577</v>
      </c>
      <c r="C6" s="3">
        <v>54</v>
      </c>
      <c r="D6" s="3">
        <v>1523</v>
      </c>
      <c r="E6" s="3">
        <v>5</v>
      </c>
      <c r="F6" s="3">
        <v>12</v>
      </c>
      <c r="G6" s="3">
        <v>4</v>
      </c>
      <c r="H6" s="3">
        <v>38</v>
      </c>
      <c r="I6" s="3">
        <v>502</v>
      </c>
      <c r="J6" s="3">
        <v>6</v>
      </c>
      <c r="K6" s="3">
        <v>1109</v>
      </c>
      <c r="L6" s="3">
        <v>31</v>
      </c>
      <c r="M6" s="3">
        <v>29</v>
      </c>
      <c r="N6" s="3">
        <v>15</v>
      </c>
      <c r="O6" s="3">
        <v>27</v>
      </c>
    </row>
    <row r="7" spans="1:15" x14ac:dyDescent="0.3">
      <c r="A7" s="2">
        <v>6</v>
      </c>
      <c r="B7" s="3">
        <v>12583</v>
      </c>
      <c r="C7" s="3">
        <v>1860</v>
      </c>
      <c r="D7" s="3">
        <v>10723</v>
      </c>
      <c r="E7" s="3">
        <v>85</v>
      </c>
      <c r="F7" s="3">
        <v>937</v>
      </c>
      <c r="G7" s="3">
        <v>560</v>
      </c>
      <c r="H7" s="3">
        <v>455</v>
      </c>
      <c r="I7" s="3">
        <v>5128</v>
      </c>
      <c r="J7" s="3">
        <v>236</v>
      </c>
      <c r="K7" s="3">
        <v>6712</v>
      </c>
      <c r="L7" s="3">
        <v>530</v>
      </c>
      <c r="M7" s="3">
        <v>2113</v>
      </c>
      <c r="N7" s="3">
        <v>141</v>
      </c>
      <c r="O7" s="3">
        <v>414</v>
      </c>
    </row>
    <row r="8" spans="1:15" x14ac:dyDescent="0.3">
      <c r="A8" s="2">
        <v>7</v>
      </c>
      <c r="B8" s="3">
        <v>5834</v>
      </c>
      <c r="C8" s="3">
        <v>1166</v>
      </c>
      <c r="D8" s="3">
        <v>4668</v>
      </c>
      <c r="E8" s="3">
        <v>42</v>
      </c>
      <c r="F8" s="3">
        <v>445</v>
      </c>
      <c r="G8" s="3">
        <v>498</v>
      </c>
      <c r="H8" s="3">
        <v>303</v>
      </c>
      <c r="I8" s="3">
        <v>2897</v>
      </c>
      <c r="J8" s="3">
        <v>237</v>
      </c>
      <c r="K8" s="3">
        <v>2282</v>
      </c>
      <c r="L8" s="3">
        <v>284</v>
      </c>
      <c r="M8" s="3">
        <v>814</v>
      </c>
      <c r="N8" s="3">
        <v>135</v>
      </c>
      <c r="O8" s="3">
        <v>515</v>
      </c>
    </row>
    <row r="9" spans="1:15" x14ac:dyDescent="0.3">
      <c r="A9" s="2">
        <v>8</v>
      </c>
      <c r="B9" s="3">
        <v>4168</v>
      </c>
      <c r="C9" s="3">
        <v>484</v>
      </c>
      <c r="D9" s="3">
        <v>3684</v>
      </c>
      <c r="E9" s="3">
        <v>12</v>
      </c>
      <c r="F9" s="3">
        <v>58</v>
      </c>
      <c r="G9" s="3">
        <v>201</v>
      </c>
      <c r="H9" s="3">
        <v>233</v>
      </c>
      <c r="I9" s="3">
        <v>2056</v>
      </c>
      <c r="J9" s="3">
        <v>34</v>
      </c>
      <c r="K9" s="3">
        <v>2020</v>
      </c>
      <c r="L9" s="3">
        <v>96</v>
      </c>
      <c r="M9" s="3">
        <v>88</v>
      </c>
      <c r="N9" s="3">
        <v>57</v>
      </c>
      <c r="O9" s="3">
        <v>88</v>
      </c>
    </row>
    <row r="10" spans="1:15" x14ac:dyDescent="0.3">
      <c r="A10" s="2">
        <v>9</v>
      </c>
      <c r="B10" s="3">
        <v>3605</v>
      </c>
      <c r="C10" s="3">
        <v>449</v>
      </c>
      <c r="D10" s="3">
        <v>3156</v>
      </c>
      <c r="E10" s="3">
        <v>34</v>
      </c>
      <c r="F10" s="3">
        <v>192</v>
      </c>
      <c r="G10" s="3">
        <v>69</v>
      </c>
      <c r="H10" s="3">
        <v>199</v>
      </c>
      <c r="I10" s="3">
        <v>1395</v>
      </c>
      <c r="J10" s="3">
        <v>39</v>
      </c>
      <c r="K10" s="3">
        <v>2051</v>
      </c>
      <c r="L10" s="3">
        <v>212</v>
      </c>
      <c r="M10" s="3">
        <v>131</v>
      </c>
      <c r="N10" s="3">
        <v>66</v>
      </c>
      <c r="O10" s="3">
        <v>265</v>
      </c>
    </row>
    <row r="11" spans="1:15" x14ac:dyDescent="0.3">
      <c r="A11" s="2">
        <v>10</v>
      </c>
      <c r="B11" s="3">
        <v>5160</v>
      </c>
      <c r="C11" s="3">
        <v>337</v>
      </c>
      <c r="D11" s="3">
        <v>4823</v>
      </c>
      <c r="E11" s="3">
        <v>21</v>
      </c>
      <c r="F11" s="3">
        <v>55</v>
      </c>
      <c r="G11" s="3">
        <v>107</v>
      </c>
      <c r="H11" s="3">
        <v>184</v>
      </c>
      <c r="I11" s="3">
        <v>1735</v>
      </c>
      <c r="J11" s="3">
        <v>27</v>
      </c>
      <c r="K11" s="3">
        <v>3858</v>
      </c>
      <c r="L11" s="3">
        <v>92</v>
      </c>
      <c r="M11" s="3">
        <v>94</v>
      </c>
      <c r="N11" s="3">
        <v>42</v>
      </c>
      <c r="O11" s="3">
        <v>105</v>
      </c>
    </row>
    <row r="12" spans="1:15" x14ac:dyDescent="0.3">
      <c r="A12" s="2">
        <v>11</v>
      </c>
      <c r="B12" s="3">
        <v>6504</v>
      </c>
      <c r="C12" s="3">
        <v>727</v>
      </c>
      <c r="D12" s="3">
        <v>5777</v>
      </c>
      <c r="E12" s="3">
        <v>29</v>
      </c>
      <c r="F12" s="3">
        <v>112</v>
      </c>
      <c r="G12" s="3">
        <v>398</v>
      </c>
      <c r="H12" s="3">
        <v>245</v>
      </c>
      <c r="I12" s="3">
        <v>2682</v>
      </c>
      <c r="J12" s="3">
        <v>34</v>
      </c>
      <c r="K12" s="3">
        <v>4064</v>
      </c>
      <c r="L12" s="3">
        <v>98</v>
      </c>
      <c r="M12" s="3">
        <v>150</v>
      </c>
      <c r="N12" s="3">
        <v>53</v>
      </c>
      <c r="O12" s="3">
        <v>115</v>
      </c>
    </row>
    <row r="13" spans="1:15" x14ac:dyDescent="0.3">
      <c r="A13" s="2">
        <v>12</v>
      </c>
      <c r="B13" s="3">
        <v>5403</v>
      </c>
      <c r="C13" s="3">
        <v>576</v>
      </c>
      <c r="D13" s="3">
        <v>4827</v>
      </c>
      <c r="E13" s="3">
        <v>15</v>
      </c>
      <c r="F13" s="3">
        <v>75</v>
      </c>
      <c r="G13" s="3">
        <v>285</v>
      </c>
      <c r="H13" s="3">
        <v>230</v>
      </c>
      <c r="I13" s="3">
        <v>2297</v>
      </c>
      <c r="J13" s="3">
        <v>24</v>
      </c>
      <c r="K13" s="3">
        <v>3296</v>
      </c>
      <c r="L13" s="3">
        <v>83</v>
      </c>
      <c r="M13" s="3">
        <v>96</v>
      </c>
      <c r="N13" s="3">
        <v>46</v>
      </c>
      <c r="O13" s="3">
        <v>94</v>
      </c>
    </row>
    <row r="14" spans="1:15" x14ac:dyDescent="0.3">
      <c r="A14" s="2">
        <v>13</v>
      </c>
      <c r="B14" s="3">
        <v>20917</v>
      </c>
      <c r="C14" s="3">
        <v>3092</v>
      </c>
      <c r="D14" s="3">
        <v>17825</v>
      </c>
      <c r="E14" s="3">
        <v>47</v>
      </c>
      <c r="F14" s="3">
        <v>1351</v>
      </c>
      <c r="G14" s="3">
        <v>1100</v>
      </c>
      <c r="H14" s="3">
        <v>879</v>
      </c>
      <c r="I14" s="3">
        <v>8342</v>
      </c>
      <c r="J14" s="3">
        <v>800</v>
      </c>
      <c r="K14" s="3">
        <v>12671</v>
      </c>
      <c r="L14" s="3">
        <v>645</v>
      </c>
      <c r="M14" s="3">
        <v>3072</v>
      </c>
      <c r="N14" s="3">
        <v>285</v>
      </c>
      <c r="O14" s="3">
        <v>861</v>
      </c>
    </row>
    <row r="15" spans="1:15" x14ac:dyDescent="0.3">
      <c r="A15" s="2">
        <v>14</v>
      </c>
      <c r="B15" s="3">
        <v>19847</v>
      </c>
      <c r="C15" s="3">
        <v>1940</v>
      </c>
      <c r="D15" s="3">
        <v>17907</v>
      </c>
      <c r="E15" s="3">
        <v>46</v>
      </c>
      <c r="F15" s="3">
        <v>302</v>
      </c>
      <c r="G15" s="3">
        <v>752</v>
      </c>
      <c r="H15" s="3">
        <v>988</v>
      </c>
      <c r="I15" s="3">
        <v>10264</v>
      </c>
      <c r="J15" s="3">
        <v>225</v>
      </c>
      <c r="K15" s="3">
        <v>10115</v>
      </c>
      <c r="L15" s="3">
        <v>371</v>
      </c>
      <c r="M15" s="3">
        <v>528</v>
      </c>
      <c r="N15" s="3">
        <v>204</v>
      </c>
      <c r="O15" s="3">
        <v>393</v>
      </c>
    </row>
    <row r="16" spans="1:15" x14ac:dyDescent="0.3">
      <c r="A16" s="2">
        <v>15</v>
      </c>
      <c r="B16" s="3">
        <v>22486</v>
      </c>
      <c r="C16" s="3">
        <v>2307</v>
      </c>
      <c r="D16" s="3">
        <v>20179</v>
      </c>
      <c r="E16" s="3">
        <v>58</v>
      </c>
      <c r="F16" s="3">
        <v>502</v>
      </c>
      <c r="G16" s="3">
        <v>753</v>
      </c>
      <c r="H16" s="3">
        <v>1194</v>
      </c>
      <c r="I16" s="3">
        <v>9426</v>
      </c>
      <c r="J16" s="3">
        <v>436</v>
      </c>
      <c r="K16" s="3">
        <v>14444</v>
      </c>
      <c r="L16" s="3">
        <v>733</v>
      </c>
      <c r="M16" s="3">
        <v>2263</v>
      </c>
      <c r="N16" s="3">
        <v>438</v>
      </c>
      <c r="O16" s="3">
        <v>1187</v>
      </c>
    </row>
    <row r="17" spans="1:15" x14ac:dyDescent="0.3">
      <c r="A17" s="2">
        <v>16</v>
      </c>
      <c r="B17" s="3">
        <v>11339</v>
      </c>
      <c r="C17" s="3">
        <v>1082</v>
      </c>
      <c r="D17" s="3">
        <v>10257</v>
      </c>
      <c r="E17" s="3">
        <v>13</v>
      </c>
      <c r="F17" s="3">
        <v>133</v>
      </c>
      <c r="G17" s="3">
        <v>600</v>
      </c>
      <c r="H17" s="3">
        <v>404</v>
      </c>
      <c r="I17" s="3">
        <v>4286</v>
      </c>
      <c r="J17" s="3">
        <v>65</v>
      </c>
      <c r="K17" s="3">
        <v>7778</v>
      </c>
      <c r="L17" s="3">
        <v>202</v>
      </c>
      <c r="M17" s="3">
        <v>214</v>
      </c>
      <c r="N17" s="3">
        <v>74</v>
      </c>
      <c r="O17" s="3">
        <v>159</v>
      </c>
    </row>
    <row r="18" spans="1:15" x14ac:dyDescent="0.3">
      <c r="A18" s="2">
        <v>17</v>
      </c>
      <c r="B18" s="3">
        <v>1236</v>
      </c>
      <c r="C18" s="3">
        <v>138</v>
      </c>
      <c r="D18" s="3">
        <v>1098</v>
      </c>
      <c r="E18" s="3">
        <v>8</v>
      </c>
      <c r="F18" s="3">
        <v>122</v>
      </c>
      <c r="G18" s="3">
        <v>7</v>
      </c>
      <c r="H18" s="3">
        <v>20</v>
      </c>
      <c r="I18" s="3">
        <v>221</v>
      </c>
      <c r="J18" s="3">
        <v>46</v>
      </c>
      <c r="K18" s="3">
        <v>1014</v>
      </c>
      <c r="L18" s="3">
        <v>58</v>
      </c>
      <c r="M18" s="3">
        <v>141</v>
      </c>
      <c r="N18" s="3">
        <v>29</v>
      </c>
      <c r="O18" s="3">
        <v>45</v>
      </c>
    </row>
    <row r="19" spans="1:15" x14ac:dyDescent="0.3">
      <c r="A19" s="2">
        <v>18</v>
      </c>
      <c r="B19" s="3">
        <v>14774</v>
      </c>
      <c r="C19" s="3">
        <v>1629</v>
      </c>
      <c r="D19" s="3">
        <v>13145</v>
      </c>
      <c r="E19" s="3">
        <v>27</v>
      </c>
      <c r="F19" s="3">
        <v>854</v>
      </c>
      <c r="G19" s="3">
        <v>365</v>
      </c>
      <c r="H19" s="3">
        <v>506</v>
      </c>
      <c r="I19" s="3">
        <v>5010</v>
      </c>
      <c r="J19" s="3">
        <v>430</v>
      </c>
      <c r="K19" s="3">
        <v>10699</v>
      </c>
      <c r="L19" s="3">
        <v>563</v>
      </c>
      <c r="M19" s="3">
        <v>1291</v>
      </c>
      <c r="N19" s="3">
        <v>150</v>
      </c>
      <c r="O19" s="3">
        <v>1000</v>
      </c>
    </row>
    <row r="20" spans="1:15" x14ac:dyDescent="0.3">
      <c r="A20" s="2">
        <v>19</v>
      </c>
      <c r="B20" s="3">
        <v>1506</v>
      </c>
      <c r="C20" s="3">
        <v>181</v>
      </c>
      <c r="D20" s="3">
        <v>1325</v>
      </c>
      <c r="E20" s="3">
        <v>59</v>
      </c>
      <c r="F20" s="3">
        <v>142</v>
      </c>
      <c r="G20" s="3">
        <v>8</v>
      </c>
      <c r="H20" s="3">
        <v>34</v>
      </c>
      <c r="I20" s="3">
        <v>406</v>
      </c>
      <c r="J20" s="3">
        <v>69</v>
      </c>
      <c r="K20" s="3">
        <v>1094</v>
      </c>
      <c r="L20" s="3">
        <v>119</v>
      </c>
      <c r="M20" s="3">
        <v>167</v>
      </c>
      <c r="N20" s="3">
        <v>88</v>
      </c>
      <c r="O20" s="3">
        <v>69</v>
      </c>
    </row>
    <row r="21" spans="1:15" x14ac:dyDescent="0.3">
      <c r="A21" s="2">
        <v>20</v>
      </c>
      <c r="B21" s="3">
        <v>11862</v>
      </c>
      <c r="C21" s="3">
        <v>1672</v>
      </c>
      <c r="D21" s="3">
        <v>10190</v>
      </c>
      <c r="E21" s="3">
        <v>44</v>
      </c>
      <c r="F21" s="3">
        <v>764</v>
      </c>
      <c r="G21" s="3">
        <v>329</v>
      </c>
      <c r="H21" s="3">
        <v>668</v>
      </c>
      <c r="I21" s="3">
        <v>5366</v>
      </c>
      <c r="J21" s="3">
        <v>385</v>
      </c>
      <c r="K21" s="3">
        <v>5908</v>
      </c>
      <c r="L21" s="3">
        <v>474</v>
      </c>
      <c r="M21" s="3">
        <v>1920</v>
      </c>
      <c r="N21" s="3">
        <v>121</v>
      </c>
      <c r="O21" s="3">
        <v>1284</v>
      </c>
    </row>
    <row r="22" spans="1:15" x14ac:dyDescent="0.3">
      <c r="A22" s="2">
        <v>21</v>
      </c>
      <c r="B22" s="3">
        <v>19156</v>
      </c>
      <c r="C22" s="3">
        <v>2190</v>
      </c>
      <c r="D22" s="3">
        <v>16966</v>
      </c>
      <c r="E22" s="3">
        <v>331</v>
      </c>
      <c r="F22" s="3">
        <v>782</v>
      </c>
      <c r="G22" s="3">
        <v>578</v>
      </c>
      <c r="H22" s="3">
        <v>955</v>
      </c>
      <c r="I22" s="3">
        <v>8702</v>
      </c>
      <c r="J22" s="3">
        <v>657</v>
      </c>
      <c r="K22" s="3">
        <v>11566</v>
      </c>
      <c r="L22" s="3">
        <v>666</v>
      </c>
      <c r="M22" s="3">
        <v>1479</v>
      </c>
      <c r="N22" s="3">
        <v>418</v>
      </c>
      <c r="O22" s="3">
        <v>578</v>
      </c>
    </row>
    <row r="23" spans="1:15" x14ac:dyDescent="0.3">
      <c r="A23" s="2">
        <v>22</v>
      </c>
      <c r="B23" s="3">
        <v>100</v>
      </c>
      <c r="C23" s="3">
        <v>14</v>
      </c>
      <c r="D23" s="3">
        <v>86</v>
      </c>
      <c r="E23" s="3">
        <v>1</v>
      </c>
      <c r="F23" s="3">
        <v>9</v>
      </c>
      <c r="G23" s="3">
        <v>2</v>
      </c>
      <c r="H23" s="3">
        <v>3</v>
      </c>
      <c r="I23" s="3">
        <v>38</v>
      </c>
      <c r="J23" s="3">
        <v>2</v>
      </c>
      <c r="K23" s="3">
        <v>62</v>
      </c>
      <c r="L23" s="3">
        <v>10</v>
      </c>
      <c r="M23" s="3">
        <v>11</v>
      </c>
      <c r="N23" s="3">
        <v>8</v>
      </c>
      <c r="O23" s="3">
        <v>2</v>
      </c>
    </row>
    <row r="24" spans="1:15" x14ac:dyDescent="0.3">
      <c r="A24" s="2">
        <v>81</v>
      </c>
      <c r="B24" s="3">
        <v>763</v>
      </c>
      <c r="C24" s="3">
        <v>28</v>
      </c>
      <c r="D24" s="3">
        <v>735</v>
      </c>
      <c r="E24" s="3">
        <v>0</v>
      </c>
      <c r="F24" s="3">
        <v>20</v>
      </c>
      <c r="G24" s="3">
        <v>0</v>
      </c>
      <c r="H24" s="3">
        <v>10</v>
      </c>
      <c r="I24" s="3">
        <v>91</v>
      </c>
      <c r="J24" s="3">
        <v>7</v>
      </c>
      <c r="K24" s="3">
        <v>687</v>
      </c>
      <c r="L24" s="3">
        <v>59</v>
      </c>
      <c r="M24" s="3">
        <v>69</v>
      </c>
      <c r="N24" s="3">
        <v>16</v>
      </c>
      <c r="O24" s="3">
        <v>16</v>
      </c>
    </row>
    <row r="25" spans="1:15" x14ac:dyDescent="0.3">
      <c r="A25" s="2" t="s">
        <v>15</v>
      </c>
      <c r="B25" s="3">
        <v>6189</v>
      </c>
      <c r="C25" s="3">
        <v>1871</v>
      </c>
      <c r="D25" s="3">
        <v>4318</v>
      </c>
      <c r="E25" s="3">
        <v>694</v>
      </c>
      <c r="F25" s="3">
        <v>1336</v>
      </c>
      <c r="G25" s="3">
        <v>80</v>
      </c>
      <c r="H25" s="3">
        <v>335</v>
      </c>
      <c r="I25" s="3">
        <v>2096</v>
      </c>
      <c r="J25" s="3">
        <v>1939</v>
      </c>
      <c r="K25" s="3">
        <v>1432</v>
      </c>
      <c r="L25" s="3">
        <v>1909</v>
      </c>
      <c r="M25" s="3">
        <v>1749</v>
      </c>
      <c r="N25" s="3">
        <v>1073</v>
      </c>
      <c r="O25" s="3">
        <v>3153</v>
      </c>
    </row>
    <row r="26" spans="1:15" x14ac:dyDescent="0.3">
      <c r="A26" s="2" t="s">
        <v>16</v>
      </c>
      <c r="B26" s="3">
        <v>798</v>
      </c>
      <c r="C26" s="3">
        <v>128</v>
      </c>
      <c r="D26" s="3">
        <v>670</v>
      </c>
      <c r="E26" s="3">
        <v>8</v>
      </c>
      <c r="F26" s="3">
        <v>106</v>
      </c>
      <c r="G26" s="3">
        <v>2</v>
      </c>
      <c r="H26" s="3">
        <v>22</v>
      </c>
      <c r="I26" s="3">
        <v>396</v>
      </c>
      <c r="J26" s="3">
        <v>140</v>
      </c>
      <c r="K26" s="3">
        <v>333</v>
      </c>
      <c r="L26" s="3">
        <v>98</v>
      </c>
      <c r="M26" s="3">
        <v>39</v>
      </c>
      <c r="N26" s="3">
        <v>98</v>
      </c>
      <c r="O26" s="3">
        <v>13</v>
      </c>
    </row>
    <row r="27" spans="1:15" x14ac:dyDescent="0.3">
      <c r="A27" s="2" t="s">
        <v>17</v>
      </c>
      <c r="B27" s="3">
        <v>631</v>
      </c>
      <c r="C27" s="3">
        <v>140</v>
      </c>
      <c r="D27" s="3">
        <v>491</v>
      </c>
      <c r="E27" s="3">
        <v>9</v>
      </c>
      <c r="F27" s="3">
        <v>128</v>
      </c>
      <c r="G27" s="3">
        <v>3</v>
      </c>
      <c r="H27" s="3">
        <v>8</v>
      </c>
      <c r="I27" s="3">
        <v>186</v>
      </c>
      <c r="J27" s="3">
        <v>125</v>
      </c>
      <c r="K27" s="3">
        <v>93</v>
      </c>
      <c r="L27" s="3">
        <v>517</v>
      </c>
      <c r="M27" s="3">
        <v>28</v>
      </c>
      <c r="N27" s="3">
        <v>170</v>
      </c>
      <c r="O27" s="3">
        <v>113</v>
      </c>
    </row>
    <row r="28" spans="1:15" x14ac:dyDescent="0.3">
      <c r="A28" s="2" t="s">
        <v>18</v>
      </c>
      <c r="B28" s="3">
        <v>5799</v>
      </c>
      <c r="C28" s="3">
        <v>1269</v>
      </c>
      <c r="D28" s="3">
        <v>4530</v>
      </c>
      <c r="E28" s="3">
        <v>50</v>
      </c>
      <c r="F28" s="3">
        <v>1220</v>
      </c>
      <c r="G28" s="3">
        <v>23</v>
      </c>
      <c r="H28" s="3">
        <v>29</v>
      </c>
      <c r="I28" s="3">
        <v>2389</v>
      </c>
      <c r="J28" s="3">
        <v>780</v>
      </c>
      <c r="K28" s="3">
        <v>2580</v>
      </c>
      <c r="L28" s="3">
        <v>2223</v>
      </c>
      <c r="M28" s="3">
        <v>449</v>
      </c>
      <c r="N28" s="3">
        <v>552</v>
      </c>
      <c r="O28" s="3">
        <v>63</v>
      </c>
    </row>
    <row r="29" spans="1:15" x14ac:dyDescent="0.3">
      <c r="A29" s="2" t="s">
        <v>19</v>
      </c>
      <c r="B29" s="3">
        <v>487</v>
      </c>
      <c r="C29" s="3">
        <v>59</v>
      </c>
      <c r="D29" s="3">
        <v>428</v>
      </c>
      <c r="E29" s="3">
        <v>1</v>
      </c>
      <c r="F29" s="3">
        <v>59</v>
      </c>
      <c r="G29" s="3">
        <v>0</v>
      </c>
      <c r="H29" s="3">
        <v>0</v>
      </c>
      <c r="I29" s="3">
        <v>151</v>
      </c>
      <c r="J29" s="3">
        <v>72</v>
      </c>
      <c r="K29" s="3">
        <v>118</v>
      </c>
      <c r="L29" s="3">
        <v>375</v>
      </c>
      <c r="M29" s="3">
        <v>12</v>
      </c>
      <c r="N29" s="3">
        <v>151</v>
      </c>
      <c r="O29" s="3">
        <v>17</v>
      </c>
    </row>
    <row r="30" spans="1:15" x14ac:dyDescent="0.3">
      <c r="A30" s="2" t="s">
        <v>20</v>
      </c>
      <c r="B30" s="3">
        <v>2119</v>
      </c>
      <c r="C30" s="3">
        <v>313</v>
      </c>
      <c r="D30" s="3">
        <v>1806</v>
      </c>
      <c r="E30" s="3">
        <v>12</v>
      </c>
      <c r="F30" s="3">
        <v>302</v>
      </c>
      <c r="G30" s="3">
        <v>9</v>
      </c>
      <c r="H30" s="3">
        <v>1</v>
      </c>
      <c r="I30" s="3">
        <v>825</v>
      </c>
      <c r="J30" s="3">
        <v>262</v>
      </c>
      <c r="K30" s="3">
        <v>614</v>
      </c>
      <c r="L30" s="3">
        <v>1477</v>
      </c>
      <c r="M30" s="3">
        <v>281</v>
      </c>
      <c r="N30" s="3">
        <v>387</v>
      </c>
      <c r="O30" s="3">
        <v>22</v>
      </c>
    </row>
    <row r="31" spans="1:15" x14ac:dyDescent="0.3">
      <c r="A31" s="2" t="s">
        <v>21</v>
      </c>
      <c r="B31" s="3">
        <v>183</v>
      </c>
      <c r="C31" s="3">
        <v>13</v>
      </c>
      <c r="D31" s="3">
        <v>170</v>
      </c>
      <c r="E31" s="3">
        <v>0</v>
      </c>
      <c r="F31" s="3">
        <v>13</v>
      </c>
      <c r="G31" s="3">
        <v>0</v>
      </c>
      <c r="H31" s="3">
        <v>0</v>
      </c>
      <c r="I31" s="3">
        <v>51</v>
      </c>
      <c r="J31" s="3">
        <v>28</v>
      </c>
      <c r="K31" s="3">
        <v>33</v>
      </c>
      <c r="L31" s="3">
        <v>150</v>
      </c>
      <c r="M31" s="3">
        <v>4</v>
      </c>
      <c r="N31" s="3">
        <v>32</v>
      </c>
      <c r="O31" s="3">
        <v>15</v>
      </c>
    </row>
    <row r="32" spans="1:15" x14ac:dyDescent="0.3">
      <c r="A32" s="2" t="s">
        <v>22</v>
      </c>
      <c r="B32" s="3">
        <v>387</v>
      </c>
      <c r="C32" s="3">
        <v>40</v>
      </c>
      <c r="D32" s="3">
        <v>347</v>
      </c>
      <c r="E32" s="3">
        <v>1</v>
      </c>
      <c r="F32" s="3">
        <v>39</v>
      </c>
      <c r="G32" s="3">
        <v>0</v>
      </c>
      <c r="H32" s="3">
        <v>2</v>
      </c>
      <c r="I32" s="3">
        <v>106</v>
      </c>
      <c r="J32" s="3">
        <v>67</v>
      </c>
      <c r="K32" s="3">
        <v>73</v>
      </c>
      <c r="L32" s="3">
        <v>336</v>
      </c>
      <c r="M32" s="3">
        <v>7</v>
      </c>
      <c r="N32" s="3">
        <v>125</v>
      </c>
      <c r="O32" s="3">
        <v>14</v>
      </c>
    </row>
    <row r="33" spans="1:15" x14ac:dyDescent="0.3">
      <c r="A33" s="2" t="s">
        <v>23</v>
      </c>
      <c r="B33" s="3">
        <v>759</v>
      </c>
      <c r="C33" s="3">
        <v>49</v>
      </c>
      <c r="D33" s="3">
        <v>710</v>
      </c>
      <c r="E33" s="3">
        <v>1</v>
      </c>
      <c r="F33" s="3">
        <v>41</v>
      </c>
      <c r="G33" s="3">
        <v>0</v>
      </c>
      <c r="H33" s="3">
        <v>8</v>
      </c>
      <c r="I33" s="3">
        <v>238</v>
      </c>
      <c r="J33" s="3">
        <v>79</v>
      </c>
      <c r="K33" s="3">
        <v>198</v>
      </c>
      <c r="L33" s="3">
        <v>642</v>
      </c>
      <c r="M33" s="3">
        <v>10</v>
      </c>
      <c r="N33" s="3">
        <v>198</v>
      </c>
      <c r="O33" s="3">
        <v>27</v>
      </c>
    </row>
    <row r="34" spans="1:15" x14ac:dyDescent="0.3">
      <c r="A34" s="2" t="s">
        <v>24</v>
      </c>
      <c r="B34" s="3">
        <v>556</v>
      </c>
      <c r="C34" s="3">
        <v>66</v>
      </c>
      <c r="D34" s="3">
        <v>490</v>
      </c>
      <c r="E34" s="3">
        <v>3</v>
      </c>
      <c r="F34" s="3">
        <v>60</v>
      </c>
      <c r="G34" s="3">
        <v>2</v>
      </c>
      <c r="H34" s="3">
        <v>4</v>
      </c>
      <c r="I34" s="3">
        <v>170</v>
      </c>
      <c r="J34" s="3">
        <v>90</v>
      </c>
      <c r="K34" s="3">
        <v>97</v>
      </c>
      <c r="L34" s="3">
        <v>481</v>
      </c>
      <c r="M34" s="3">
        <v>34</v>
      </c>
      <c r="N34" s="3">
        <v>155</v>
      </c>
      <c r="O34" s="3">
        <v>5</v>
      </c>
    </row>
    <row r="35" spans="1:15" x14ac:dyDescent="0.3">
      <c r="A35" s="2" t="s">
        <v>25</v>
      </c>
      <c r="B35" s="3">
        <v>373</v>
      </c>
      <c r="C35" s="3">
        <v>28</v>
      </c>
      <c r="D35" s="3">
        <v>345</v>
      </c>
      <c r="E35" s="3">
        <v>2</v>
      </c>
      <c r="F35" s="3">
        <v>21</v>
      </c>
      <c r="G35" s="3">
        <v>2</v>
      </c>
      <c r="H35" s="3">
        <v>5</v>
      </c>
      <c r="I35" s="3">
        <v>109</v>
      </c>
      <c r="J35" s="3">
        <v>60</v>
      </c>
      <c r="K35" s="3">
        <v>66</v>
      </c>
      <c r="L35" s="3">
        <v>343</v>
      </c>
      <c r="M35" s="3">
        <v>6</v>
      </c>
      <c r="N35" s="3">
        <v>80</v>
      </c>
      <c r="O35" s="3">
        <v>11</v>
      </c>
    </row>
    <row r="36" spans="1:15" x14ac:dyDescent="0.3">
      <c r="A36" s="2" t="s">
        <v>26</v>
      </c>
      <c r="B36" s="3">
        <v>490</v>
      </c>
      <c r="C36" s="3">
        <v>71</v>
      </c>
      <c r="D36" s="3">
        <v>419</v>
      </c>
      <c r="E36" s="3">
        <v>1</v>
      </c>
      <c r="F36" s="3">
        <v>67</v>
      </c>
      <c r="G36" s="3">
        <v>4</v>
      </c>
      <c r="H36" s="3">
        <v>1</v>
      </c>
      <c r="I36" s="3">
        <v>159</v>
      </c>
      <c r="J36" s="3">
        <v>90</v>
      </c>
      <c r="K36" s="3">
        <v>86</v>
      </c>
      <c r="L36" s="3">
        <v>440</v>
      </c>
      <c r="M36" s="3">
        <v>22</v>
      </c>
      <c r="N36" s="3">
        <v>124</v>
      </c>
      <c r="O36" s="3">
        <v>30</v>
      </c>
    </row>
    <row r="37" spans="1:15" x14ac:dyDescent="0.3">
      <c r="A37" s="2" t="s">
        <v>27</v>
      </c>
      <c r="B37" s="3">
        <v>246</v>
      </c>
      <c r="C37" s="3">
        <v>40</v>
      </c>
      <c r="D37" s="3">
        <v>206</v>
      </c>
      <c r="E37" s="3">
        <v>0</v>
      </c>
      <c r="F37" s="3">
        <v>38</v>
      </c>
      <c r="G37" s="3">
        <v>1</v>
      </c>
      <c r="H37" s="3">
        <v>1</v>
      </c>
      <c r="I37" s="3">
        <v>78</v>
      </c>
      <c r="J37" s="3">
        <v>53</v>
      </c>
      <c r="K37" s="3">
        <v>62</v>
      </c>
      <c r="L37" s="3">
        <v>230</v>
      </c>
      <c r="M37" s="3">
        <v>3</v>
      </c>
      <c r="N37" s="3">
        <v>80</v>
      </c>
      <c r="O37" s="3">
        <v>12</v>
      </c>
    </row>
    <row r="38" spans="1:15" x14ac:dyDescent="0.3">
      <c r="A38" s="2" t="s">
        <v>28</v>
      </c>
      <c r="B38" s="3">
        <v>2624</v>
      </c>
      <c r="C38" s="3">
        <v>276</v>
      </c>
      <c r="D38" s="3">
        <v>2348</v>
      </c>
      <c r="E38" s="3">
        <v>1</v>
      </c>
      <c r="F38" s="3">
        <v>182</v>
      </c>
      <c r="G38" s="3">
        <v>17</v>
      </c>
      <c r="H38" s="3">
        <v>82</v>
      </c>
      <c r="I38" s="3">
        <v>1054</v>
      </c>
      <c r="J38" s="3">
        <v>122</v>
      </c>
      <c r="K38" s="3">
        <v>1220</v>
      </c>
      <c r="L38" s="3">
        <v>665</v>
      </c>
      <c r="M38" s="3">
        <v>548</v>
      </c>
      <c r="N38" s="3">
        <v>169</v>
      </c>
      <c r="O38" s="3">
        <v>92</v>
      </c>
    </row>
    <row r="39" spans="1:15" x14ac:dyDescent="0.3">
      <c r="A39" s="2" t="s">
        <v>29</v>
      </c>
      <c r="B39" s="3">
        <v>1829</v>
      </c>
      <c r="C39" s="3">
        <v>204</v>
      </c>
      <c r="D39" s="3">
        <v>1625</v>
      </c>
      <c r="E39" s="3">
        <v>16</v>
      </c>
      <c r="F39" s="3">
        <v>168</v>
      </c>
      <c r="G39" s="3">
        <v>19</v>
      </c>
      <c r="H39" s="3">
        <v>12</v>
      </c>
      <c r="I39" s="3">
        <v>812</v>
      </c>
      <c r="J39" s="3">
        <v>218</v>
      </c>
      <c r="K39" s="3">
        <v>749</v>
      </c>
      <c r="L39" s="3">
        <v>541</v>
      </c>
      <c r="M39" s="3">
        <v>261</v>
      </c>
      <c r="N39" s="3">
        <v>158</v>
      </c>
      <c r="O39" s="3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Hoja3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Vargas</dc:creator>
  <cp:lastModifiedBy>Leidy Vargas</cp:lastModifiedBy>
  <dcterms:created xsi:type="dcterms:W3CDTF">2026-01-21T16:17:09Z</dcterms:created>
  <dcterms:modified xsi:type="dcterms:W3CDTF">2026-03-24T18:55:13Z</dcterms:modified>
</cp:coreProperties>
</file>